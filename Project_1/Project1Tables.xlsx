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e18752fad44d60/Documents/PBHLT 7101/Project 1/"/>
    </mc:Choice>
  </mc:AlternateContent>
  <xr:revisionPtr revIDLastSave="98" documentId="8_{B2B91E22-BB08-4DFB-A562-1069367C30A8}" xr6:coauthVersionLast="47" xr6:coauthVersionMax="47" xr10:uidLastSave="{C39E74B5-77D8-4548-A098-72C51D6328AF}"/>
  <bookViews>
    <workbookView xWindow="-110" yWindow="-110" windowWidth="19420" windowHeight="10300" xr2:uid="{C6ED84B1-8C2C-4F45-8DFB-190959EAC5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</calcChain>
</file>

<file path=xl/sharedStrings.xml><?xml version="1.0" encoding="utf-8"?>
<sst xmlns="http://schemas.openxmlformats.org/spreadsheetml/2006/main" count="58" uniqueCount="49">
  <si>
    <t>Mean (SD)</t>
  </si>
  <si>
    <t>Maximum</t>
  </si>
  <si>
    <t>Minimum</t>
  </si>
  <si>
    <t>Suspicious Values</t>
  </si>
  <si>
    <t>Missing Values</t>
  </si>
  <si>
    <t>Measures of Trunk Circumfrence</t>
  </si>
  <si>
    <t>Chest Circumfrence</t>
  </si>
  <si>
    <t>Waist Circumfrence</t>
  </si>
  <si>
    <t>Hip Breadth</t>
  </si>
  <si>
    <t>Hip Breadth, Sitting</t>
  </si>
  <si>
    <t>Bicristal (Pelvic) Breadth</t>
  </si>
  <si>
    <t>Stature</t>
  </si>
  <si>
    <t>Measured Height</t>
  </si>
  <si>
    <t>Knee Height</t>
  </si>
  <si>
    <t>Height to Neck Cervical</t>
  </si>
  <si>
    <t>Height to Hip</t>
  </si>
  <si>
    <t>Waist Height</t>
  </si>
  <si>
    <t>Functional Leg Length</t>
  </si>
  <si>
    <t>Foot Length</t>
  </si>
  <si>
    <t>Forward Arm Reach</t>
  </si>
  <si>
    <t>Arm Span</t>
  </si>
  <si>
    <t>Table 1. Anthropometric Measurements Demographics</t>
  </si>
  <si>
    <t>103.156 (6.271)</t>
  </si>
  <si>
    <t>110.213 (6.847)</t>
  </si>
  <si>
    <t>147.768 (8.429)</t>
  </si>
  <si>
    <t>91.466 (11.421)</t>
  </si>
  <si>
    <t>102.225 (10.056)</t>
  </si>
  <si>
    <t>38.571 (3.239)</t>
  </si>
  <si>
    <t>27.472 (1.922)</t>
  </si>
  <si>
    <t>Count</t>
  </si>
  <si>
    <t>176.409 (11.084)</t>
  </si>
  <si>
    <t>171.46 (8.998)</t>
  </si>
  <si>
    <t>47.551 (3.308)</t>
  </si>
  <si>
    <t>26.307 (1.738)</t>
  </si>
  <si>
    <t>78.985 (5.376)</t>
  </si>
  <si>
    <t>Other</t>
  </si>
  <si>
    <t>Self Reported Weight (lbs)</t>
  </si>
  <si>
    <t>Self Reported Height (in)</t>
  </si>
  <si>
    <t>Measured Weight (kg)</t>
  </si>
  <si>
    <t>79.707 (15.654)</t>
  </si>
  <si>
    <t>174.82 (33.576)</t>
  </si>
  <si>
    <t>68.269 (3.869)</t>
  </si>
  <si>
    <t>34.838 (2.530)</t>
  </si>
  <si>
    <t>88.277 (5.440)</t>
  </si>
  <si>
    <t>Male</t>
  </si>
  <si>
    <t>Female</t>
  </si>
  <si>
    <t>Difference</t>
  </si>
  <si>
    <t xml:space="preserve">Table 4.1. Stature Correlation Coefficients by Gender </t>
  </si>
  <si>
    <t>Measure of Stature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</si>
</sst>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#,##0.0"/>
    <numFmt numFmtId="173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4" xfId="0" applyFont="1" applyBorder="1"/>
    <xf numFmtId="0" fontId="0" fillId="0" borderId="4" xfId="0" applyFont="1" applyBorder="1" applyAlignment="1">
      <alignment horizontal="left" indent="1"/>
    </xf>
    <xf numFmtId="3" fontId="0" fillId="0" borderId="0" xfId="0" applyNumberFormat="1" applyFont="1" applyBorder="1" applyAlignment="1">
      <alignment vertical="center" wrapText="1"/>
    </xf>
    <xf numFmtId="3" fontId="0" fillId="0" borderId="5" xfId="0" applyNumberFormat="1" applyFont="1" applyBorder="1" applyAlignment="1">
      <alignment vertical="center" wrapText="1"/>
    </xf>
    <xf numFmtId="3" fontId="0" fillId="0" borderId="0" xfId="0" applyNumberFormat="1" applyFont="1" applyBorder="1" applyAlignment="1"/>
    <xf numFmtId="0" fontId="0" fillId="0" borderId="6" xfId="0" applyFont="1" applyBorder="1" applyAlignment="1">
      <alignment horizontal="left" indent="1"/>
    </xf>
    <xf numFmtId="3" fontId="0" fillId="0" borderId="7" xfId="0" applyNumberFormat="1" applyFont="1" applyBorder="1" applyAlignment="1">
      <alignment vertical="center" wrapText="1"/>
    </xf>
    <xf numFmtId="3" fontId="0" fillId="0" borderId="8" xfId="0" applyNumberFormat="1" applyFont="1" applyBorder="1" applyAlignment="1">
      <alignment vertical="center" wrapText="1"/>
    </xf>
    <xf numFmtId="0" fontId="1" fillId="2" borderId="9" xfId="0" applyFont="1" applyFill="1" applyBorder="1"/>
    <xf numFmtId="0" fontId="1" fillId="2" borderId="10" xfId="0" applyFont="1" applyFill="1" applyBorder="1"/>
    <xf numFmtId="0" fontId="0" fillId="2" borderId="10" xfId="0" applyFont="1" applyFill="1" applyBorder="1"/>
    <xf numFmtId="0" fontId="0" fillId="2" borderId="11" xfId="0" applyFont="1" applyFill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4" fontId="0" fillId="0" borderId="0" xfId="0" applyNumberFormat="1" applyFont="1" applyBorder="1" applyAlignment="1">
      <alignment horizontal="right" vertical="center" wrapText="1"/>
    </xf>
    <xf numFmtId="4" fontId="0" fillId="0" borderId="7" xfId="0" applyNumberFormat="1" applyFont="1" applyBorder="1" applyAlignment="1">
      <alignment horizontal="right" vertical="center" wrapText="1"/>
    </xf>
    <xf numFmtId="171" fontId="0" fillId="0" borderId="0" xfId="0" applyNumberFormat="1" applyFont="1" applyBorder="1" applyAlignment="1">
      <alignment vertical="center" wrapText="1"/>
    </xf>
    <xf numFmtId="171" fontId="0" fillId="0" borderId="7" xfId="0" applyNumberFormat="1" applyFont="1" applyBorder="1" applyAlignment="1">
      <alignment vertical="center" wrapText="1"/>
    </xf>
    <xf numFmtId="0" fontId="1" fillId="2" borderId="7" xfId="0" applyFont="1" applyFill="1" applyBorder="1"/>
    <xf numFmtId="0" fontId="0" fillId="2" borderId="7" xfId="0" applyFont="1" applyFill="1" applyBorder="1"/>
    <xf numFmtId="0" fontId="0" fillId="2" borderId="8" xfId="0" applyFont="1" applyFill="1" applyBorder="1"/>
    <xf numFmtId="3" fontId="1" fillId="2" borderId="10" xfId="0" applyNumberFormat="1" applyFont="1" applyFill="1" applyBorder="1" applyAlignment="1"/>
    <xf numFmtId="4" fontId="0" fillId="2" borderId="10" xfId="0" applyNumberFormat="1" applyFont="1" applyFill="1" applyBorder="1" applyAlignment="1">
      <alignment horizontal="right"/>
    </xf>
    <xf numFmtId="171" fontId="0" fillId="2" borderId="10" xfId="0" applyNumberFormat="1" applyFont="1" applyFill="1" applyBorder="1" applyAlignment="1"/>
    <xf numFmtId="3" fontId="0" fillId="2" borderId="10" xfId="0" applyNumberFormat="1" applyFont="1" applyFill="1" applyBorder="1" applyAlignment="1"/>
    <xf numFmtId="3" fontId="0" fillId="2" borderId="11" xfId="0" applyNumberFormat="1" applyFont="1" applyFill="1" applyBorder="1" applyAlignment="1"/>
    <xf numFmtId="0" fontId="1" fillId="2" borderId="9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1" fillId="2" borderId="10" xfId="0" applyFont="1" applyFill="1" applyBorder="1" applyAlignment="1">
      <alignment horizontal="right"/>
    </xf>
    <xf numFmtId="4" fontId="1" fillId="2" borderId="10" xfId="0" applyNumberFormat="1" applyFont="1" applyFill="1" applyBorder="1" applyAlignment="1">
      <alignment horizontal="right" vertical="center" wrapText="1"/>
    </xf>
    <xf numFmtId="0" fontId="1" fillId="2" borderId="11" xfId="0" applyFont="1" applyFill="1" applyBorder="1" applyAlignment="1">
      <alignment horizontal="right"/>
    </xf>
    <xf numFmtId="173" fontId="0" fillId="0" borderId="0" xfId="0" applyNumberFormat="1" applyBorder="1"/>
    <xf numFmtId="173" fontId="0" fillId="0" borderId="5" xfId="0" applyNumberFormat="1" applyBorder="1"/>
    <xf numFmtId="173" fontId="0" fillId="2" borderId="0" xfId="0" applyNumberFormat="1" applyFill="1" applyBorder="1"/>
    <xf numFmtId="173" fontId="0" fillId="2" borderId="5" xfId="0" applyNumberFormat="1" applyFill="1" applyBorder="1"/>
    <xf numFmtId="173" fontId="0" fillId="0" borderId="7" xfId="0" applyNumberFormat="1" applyBorder="1"/>
    <xf numFmtId="173" fontId="0" fillId="0" borderId="8" xfId="0" applyNumberFormat="1" applyBorder="1"/>
    <xf numFmtId="0" fontId="0" fillId="2" borderId="4" xfId="0" applyFont="1" applyFill="1" applyBorder="1" applyAlignment="1">
      <alignment horizontal="left" indent="1"/>
    </xf>
    <xf numFmtId="0" fontId="1" fillId="2" borderId="9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7933-530B-42F2-A7C0-B2AA729B8509}">
  <dimension ref="A1:M22"/>
  <sheetViews>
    <sheetView showGridLines="0" tabSelected="1" workbookViewId="0">
      <selection activeCell="J1" sqref="J1:M11"/>
    </sheetView>
  </sheetViews>
  <sheetFormatPr defaultRowHeight="14.5" x14ac:dyDescent="0.35"/>
  <cols>
    <col min="1" max="1" width="28.1796875" customWidth="1"/>
    <col min="2" max="2" width="24.7265625" customWidth="1"/>
    <col min="3" max="3" width="16" customWidth="1"/>
    <col min="4" max="4" width="14.453125" customWidth="1"/>
    <col min="5" max="5" width="14.54296875" customWidth="1"/>
    <col min="6" max="6" width="18.26953125" customWidth="1"/>
    <col min="7" max="7" width="15" customWidth="1"/>
    <col min="10" max="10" width="23.36328125" customWidth="1"/>
    <col min="11" max="11" width="8.453125" customWidth="1"/>
    <col min="12" max="12" width="11.08984375" customWidth="1"/>
    <col min="13" max="13" width="13.54296875" customWidth="1"/>
  </cols>
  <sheetData>
    <row r="1" spans="1:13" x14ac:dyDescent="0.35">
      <c r="A1" s="9" t="s">
        <v>21</v>
      </c>
      <c r="B1" s="10"/>
      <c r="C1" s="11"/>
      <c r="D1" s="11"/>
      <c r="E1" s="11"/>
      <c r="F1" s="11"/>
      <c r="G1" s="12"/>
      <c r="J1" s="28" t="s">
        <v>47</v>
      </c>
      <c r="K1" s="29"/>
      <c r="L1" s="29"/>
      <c r="M1" s="30"/>
    </row>
    <row r="2" spans="1:13" x14ac:dyDescent="0.35">
      <c r="A2" s="1"/>
      <c r="B2" s="13" t="s">
        <v>29</v>
      </c>
      <c r="C2" s="13" t="s">
        <v>0</v>
      </c>
      <c r="D2" s="13" t="s">
        <v>2</v>
      </c>
      <c r="E2" s="13" t="s">
        <v>1</v>
      </c>
      <c r="F2" s="13" t="s">
        <v>3</v>
      </c>
      <c r="G2" s="14" t="s">
        <v>4</v>
      </c>
      <c r="J2" s="41" t="s">
        <v>48</v>
      </c>
      <c r="K2" s="31" t="s">
        <v>44</v>
      </c>
      <c r="L2" s="32" t="s">
        <v>45</v>
      </c>
      <c r="M2" s="33" t="s">
        <v>46</v>
      </c>
    </row>
    <row r="3" spans="1:13" x14ac:dyDescent="0.35">
      <c r="A3" s="9" t="s">
        <v>5</v>
      </c>
      <c r="B3" s="19"/>
      <c r="C3" s="20"/>
      <c r="D3" s="20"/>
      <c r="E3" s="20"/>
      <c r="F3" s="20"/>
      <c r="G3" s="21"/>
      <c r="J3" s="2" t="s">
        <v>13</v>
      </c>
      <c r="K3" s="34">
        <v>0.83340000000000003</v>
      </c>
      <c r="L3" s="34">
        <v>0.84319999999999995</v>
      </c>
      <c r="M3" s="35">
        <f t="shared" ref="M3:M11" si="0">ABS(L3-K3)</f>
        <v>9.7999999999999199E-3</v>
      </c>
    </row>
    <row r="4" spans="1:13" x14ac:dyDescent="0.35">
      <c r="A4" s="2" t="s">
        <v>6</v>
      </c>
      <c r="B4" s="3">
        <v>6107</v>
      </c>
      <c r="C4" s="15" t="s">
        <v>26</v>
      </c>
      <c r="D4" s="17">
        <v>69.5</v>
      </c>
      <c r="E4" s="17">
        <v>146.9</v>
      </c>
      <c r="F4" s="3">
        <v>0</v>
      </c>
      <c r="G4" s="4">
        <v>1</v>
      </c>
      <c r="J4" s="40" t="s">
        <v>14</v>
      </c>
      <c r="K4" s="36">
        <v>0.98409999999999997</v>
      </c>
      <c r="L4" s="36">
        <v>0.98429999999999995</v>
      </c>
      <c r="M4" s="37">
        <f t="shared" si="0"/>
        <v>1.9999999999997797E-4</v>
      </c>
    </row>
    <row r="5" spans="1:13" x14ac:dyDescent="0.35">
      <c r="A5" s="2" t="s">
        <v>7</v>
      </c>
      <c r="B5" s="3">
        <v>6107</v>
      </c>
      <c r="C5" s="15" t="s">
        <v>25</v>
      </c>
      <c r="D5" s="17">
        <v>61.1</v>
      </c>
      <c r="E5" s="17">
        <v>137.9</v>
      </c>
      <c r="F5" s="3">
        <v>0</v>
      </c>
      <c r="G5" s="4">
        <v>1</v>
      </c>
      <c r="J5" s="2" t="s">
        <v>15</v>
      </c>
      <c r="K5" s="34">
        <v>0.85009999999999997</v>
      </c>
      <c r="L5" s="34">
        <v>0.85780000000000001</v>
      </c>
      <c r="M5" s="35">
        <f t="shared" si="0"/>
        <v>7.7000000000000401E-3</v>
      </c>
    </row>
    <row r="6" spans="1:13" x14ac:dyDescent="0.35">
      <c r="A6" s="2" t="s">
        <v>8</v>
      </c>
      <c r="B6" s="3">
        <v>6107</v>
      </c>
      <c r="C6" s="15" t="s">
        <v>42</v>
      </c>
      <c r="D6" s="17">
        <v>26.4</v>
      </c>
      <c r="E6" s="17">
        <v>47.3</v>
      </c>
      <c r="F6" s="3">
        <v>0</v>
      </c>
      <c r="G6" s="4">
        <v>1</v>
      </c>
      <c r="J6" s="40" t="s">
        <v>16</v>
      </c>
      <c r="K6" s="36">
        <v>0.90849999999999997</v>
      </c>
      <c r="L6" s="36">
        <v>0.90880000000000005</v>
      </c>
      <c r="M6" s="37">
        <f t="shared" si="0"/>
        <v>3.0000000000007798E-4</v>
      </c>
    </row>
    <row r="7" spans="1:13" x14ac:dyDescent="0.35">
      <c r="A7" s="2" t="s">
        <v>9</v>
      </c>
      <c r="B7" s="3">
        <v>6107</v>
      </c>
      <c r="C7" s="15" t="s">
        <v>27</v>
      </c>
      <c r="D7" s="17">
        <v>28</v>
      </c>
      <c r="E7" s="17">
        <v>54.1</v>
      </c>
      <c r="F7" s="3">
        <v>0</v>
      </c>
      <c r="G7" s="4">
        <v>1</v>
      </c>
      <c r="J7" s="2" t="s">
        <v>17</v>
      </c>
      <c r="K7" s="34">
        <v>0.81789999999999996</v>
      </c>
      <c r="L7" s="34">
        <v>0.83230000000000004</v>
      </c>
      <c r="M7" s="35">
        <f t="shared" si="0"/>
        <v>1.4400000000000079E-2</v>
      </c>
    </row>
    <row r="8" spans="1:13" x14ac:dyDescent="0.35">
      <c r="A8" s="2" t="s">
        <v>10</v>
      </c>
      <c r="B8" s="3">
        <v>6107</v>
      </c>
      <c r="C8" s="15" t="s">
        <v>28</v>
      </c>
      <c r="D8" s="17">
        <v>19.7</v>
      </c>
      <c r="E8" s="17">
        <v>36.200000000000003</v>
      </c>
      <c r="F8" s="3">
        <v>0</v>
      </c>
      <c r="G8" s="4">
        <v>1</v>
      </c>
      <c r="J8" s="40" t="s">
        <v>18</v>
      </c>
      <c r="K8" s="36">
        <v>0.71809999999999996</v>
      </c>
      <c r="L8" s="36">
        <v>0.72189999999999999</v>
      </c>
      <c r="M8" s="37">
        <f t="shared" si="0"/>
        <v>3.8000000000000256E-3</v>
      </c>
    </row>
    <row r="9" spans="1:13" x14ac:dyDescent="0.35">
      <c r="A9" s="9" t="s">
        <v>11</v>
      </c>
      <c r="B9" s="22"/>
      <c r="C9" s="23"/>
      <c r="D9" s="24"/>
      <c r="E9" s="24"/>
      <c r="F9" s="25"/>
      <c r="G9" s="26"/>
      <c r="J9" s="2" t="s">
        <v>19</v>
      </c>
      <c r="K9" s="34">
        <v>0.69120000000000004</v>
      </c>
      <c r="L9" s="34">
        <v>0.67100000000000004</v>
      </c>
      <c r="M9" s="35">
        <f t="shared" si="0"/>
        <v>2.0199999999999996E-2</v>
      </c>
    </row>
    <row r="10" spans="1:13" x14ac:dyDescent="0.35">
      <c r="A10" s="2" t="s">
        <v>12</v>
      </c>
      <c r="B10" s="3">
        <v>6107</v>
      </c>
      <c r="C10" s="15" t="s">
        <v>31</v>
      </c>
      <c r="D10" s="17">
        <v>140.9</v>
      </c>
      <c r="E10" s="17">
        <v>199.3</v>
      </c>
      <c r="F10" s="3">
        <v>0</v>
      </c>
      <c r="G10" s="4">
        <v>1</v>
      </c>
      <c r="J10" s="40" t="s">
        <v>20</v>
      </c>
      <c r="K10" s="36">
        <v>0.82299999999999995</v>
      </c>
      <c r="L10" s="36">
        <v>0.81899999999999995</v>
      </c>
      <c r="M10" s="37">
        <f t="shared" si="0"/>
        <v>4.0000000000000036E-3</v>
      </c>
    </row>
    <row r="11" spans="1:13" x14ac:dyDescent="0.35">
      <c r="A11" s="2" t="s">
        <v>13</v>
      </c>
      <c r="B11" s="3">
        <v>6107</v>
      </c>
      <c r="C11" s="15" t="s">
        <v>32</v>
      </c>
      <c r="D11" s="17">
        <v>34.6</v>
      </c>
      <c r="E11" s="17">
        <v>61.2</v>
      </c>
      <c r="F11" s="3">
        <v>0</v>
      </c>
      <c r="G11" s="4">
        <v>1</v>
      </c>
      <c r="J11" s="6" t="s">
        <v>38</v>
      </c>
      <c r="K11" s="38">
        <v>0.46889999999999998</v>
      </c>
      <c r="L11" s="38">
        <v>0.53339999999999999</v>
      </c>
      <c r="M11" s="39">
        <f t="shared" si="0"/>
        <v>6.4500000000000002E-2</v>
      </c>
    </row>
    <row r="12" spans="1:13" x14ac:dyDescent="0.35">
      <c r="A12" s="2" t="s">
        <v>14</v>
      </c>
      <c r="B12" s="5">
        <v>6107</v>
      </c>
      <c r="C12" s="15" t="s">
        <v>24</v>
      </c>
      <c r="D12" s="17">
        <v>118.4</v>
      </c>
      <c r="E12" s="17">
        <v>173.8</v>
      </c>
      <c r="F12" s="3">
        <v>0</v>
      </c>
      <c r="G12" s="4">
        <v>1</v>
      </c>
    </row>
    <row r="13" spans="1:13" x14ac:dyDescent="0.35">
      <c r="A13" s="2" t="s">
        <v>15</v>
      </c>
      <c r="B13" s="3">
        <v>6107</v>
      </c>
      <c r="C13" s="15" t="s">
        <v>43</v>
      </c>
      <c r="D13" s="17">
        <v>66</v>
      </c>
      <c r="E13" s="17">
        <v>109.5</v>
      </c>
      <c r="F13" s="3">
        <v>0</v>
      </c>
      <c r="G13" s="4">
        <v>1</v>
      </c>
    </row>
    <row r="14" spans="1:13" x14ac:dyDescent="0.35">
      <c r="A14" s="2" t="s">
        <v>16</v>
      </c>
      <c r="B14" s="5">
        <v>6107</v>
      </c>
      <c r="C14" s="15" t="s">
        <v>22</v>
      </c>
      <c r="D14" s="17">
        <v>80.5</v>
      </c>
      <c r="E14" s="17">
        <v>124.5</v>
      </c>
      <c r="F14" s="3">
        <v>0</v>
      </c>
      <c r="G14" s="4">
        <v>1</v>
      </c>
    </row>
    <row r="15" spans="1:13" x14ac:dyDescent="0.35">
      <c r="A15" s="2" t="s">
        <v>17</v>
      </c>
      <c r="B15" s="5">
        <v>6107</v>
      </c>
      <c r="C15" s="15" t="s">
        <v>23</v>
      </c>
      <c r="D15" s="17">
        <v>83.5</v>
      </c>
      <c r="E15" s="17">
        <v>131.6</v>
      </c>
      <c r="F15" s="3">
        <v>0</v>
      </c>
      <c r="G15" s="4">
        <v>1</v>
      </c>
    </row>
    <row r="16" spans="1:13" x14ac:dyDescent="0.35">
      <c r="A16" s="2" t="s">
        <v>18</v>
      </c>
      <c r="B16" s="3">
        <v>6107</v>
      </c>
      <c r="C16" s="15" t="s">
        <v>33</v>
      </c>
      <c r="D16" s="17">
        <v>19.8</v>
      </c>
      <c r="E16" s="17">
        <v>32.299999999999997</v>
      </c>
      <c r="F16" s="3">
        <v>0</v>
      </c>
      <c r="G16" s="4">
        <v>1</v>
      </c>
    </row>
    <row r="17" spans="1:7" x14ac:dyDescent="0.35">
      <c r="A17" s="2" t="s">
        <v>19</v>
      </c>
      <c r="B17" s="3">
        <v>6107</v>
      </c>
      <c r="C17" s="15" t="s">
        <v>34</v>
      </c>
      <c r="D17" s="17">
        <v>60.2</v>
      </c>
      <c r="E17" s="17">
        <v>99.8</v>
      </c>
      <c r="F17" s="3">
        <v>0</v>
      </c>
      <c r="G17" s="4">
        <v>1</v>
      </c>
    </row>
    <row r="18" spans="1:7" x14ac:dyDescent="0.35">
      <c r="A18" s="2" t="s">
        <v>20</v>
      </c>
      <c r="B18" s="3">
        <v>6107</v>
      </c>
      <c r="C18" s="15" t="s">
        <v>30</v>
      </c>
      <c r="D18" s="17">
        <v>132.30000000000001</v>
      </c>
      <c r="E18" s="17">
        <v>212.1</v>
      </c>
      <c r="F18" s="3">
        <v>0</v>
      </c>
      <c r="G18" s="4">
        <v>1</v>
      </c>
    </row>
    <row r="19" spans="1:7" x14ac:dyDescent="0.35">
      <c r="A19" s="2" t="s">
        <v>38</v>
      </c>
      <c r="B19" s="3">
        <v>6068</v>
      </c>
      <c r="C19" s="15" t="s">
        <v>39</v>
      </c>
      <c r="D19" s="17">
        <v>35.799999999999997</v>
      </c>
      <c r="E19" s="17">
        <v>144.19999999999999</v>
      </c>
      <c r="F19" s="3">
        <v>40</v>
      </c>
      <c r="G19" s="4">
        <v>0</v>
      </c>
    </row>
    <row r="20" spans="1:7" x14ac:dyDescent="0.35">
      <c r="A20" s="27" t="s">
        <v>35</v>
      </c>
      <c r="B20" s="25"/>
      <c r="C20" s="23"/>
      <c r="D20" s="24"/>
      <c r="E20" s="24"/>
      <c r="F20" s="25"/>
      <c r="G20" s="26"/>
    </row>
    <row r="21" spans="1:7" x14ac:dyDescent="0.35">
      <c r="A21" s="2" t="s">
        <v>36</v>
      </c>
      <c r="B21" s="3">
        <v>6107</v>
      </c>
      <c r="C21" s="15" t="s">
        <v>40</v>
      </c>
      <c r="D21" s="17">
        <v>86</v>
      </c>
      <c r="E21" s="17">
        <v>321</v>
      </c>
      <c r="F21" s="3">
        <v>1</v>
      </c>
      <c r="G21" s="4">
        <v>0</v>
      </c>
    </row>
    <row r="22" spans="1:7" x14ac:dyDescent="0.35">
      <c r="A22" s="6" t="s">
        <v>37</v>
      </c>
      <c r="B22" s="7">
        <v>6108</v>
      </c>
      <c r="C22" s="16" t="s">
        <v>41</v>
      </c>
      <c r="D22" s="18">
        <v>56</v>
      </c>
      <c r="E22" s="18">
        <v>94</v>
      </c>
      <c r="F22" s="7">
        <v>0</v>
      </c>
      <c r="G22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Shimpi</dc:creator>
  <cp:lastModifiedBy>Darshan Shimpi</cp:lastModifiedBy>
  <dcterms:created xsi:type="dcterms:W3CDTF">2026-02-23T23:42:52Z</dcterms:created>
  <dcterms:modified xsi:type="dcterms:W3CDTF">2026-02-24T22:40:34Z</dcterms:modified>
</cp:coreProperties>
</file>